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9068df4ca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8894b92844475"/>
    <x:sheet xmlns:r="http://schemas.openxmlformats.org/officeDocument/2006/relationships" name="Realistic Budget" sheetId="2" r:id="Rf2bf0e0a9d8c498b"/>
    <x:sheet xmlns:r="http://schemas.openxmlformats.org/officeDocument/2006/relationships" name="Scenarios" sheetId="3" r:id="R0660238ae5a34350"/>
    <x:sheet xmlns:r="http://schemas.openxmlformats.org/officeDocument/2006/relationships" name="Production Assumptions" sheetId="4" r:id="R3abbe82079c44b3f"/>
    <x:sheet xmlns:r="http://schemas.openxmlformats.org/officeDocument/2006/relationships" name="Sources" sheetId="5" r:id="R2fb76b88a6b1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"/>
    <x:numFmt numFmtId="201" formatCode="0.0%"/>
    <x:numFmt numFmtId="202" formatCode="#,##0"/>
  </x:numFmts>
  <x:fonts count="5">
    <x:font>
      <x:sz val="11"/>
      <x:name val="Carlito"/>
    </x:font>
    <x:font>
      <x:b/>
      <x:sz val="18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/>
    <x:xf numFmtId="202" fontId="3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121e3c4914e40" /><Relationship Type="http://schemas.openxmlformats.org/officeDocument/2006/relationships/theme" Target="/xl/theme/theme1.xml" Id="R50271d8724744a8d" /><Relationship Type="http://schemas.openxmlformats.org/officeDocument/2006/relationships/sharedStrings" Target="/xl/sharedStrings.xml" Id="R3f03600623674674" /><Relationship Type="http://schemas.openxmlformats.org/officeDocument/2006/relationships/worksheet" Target="/xl/worksheets/sheet1.xml" Id="R8ea8894b92844475" /><Relationship Type="http://schemas.openxmlformats.org/officeDocument/2006/relationships/worksheet" Target="/xl/worksheets/sheet2.xml" Id="Rf2bf0e0a9d8c498b" /><Relationship Type="http://schemas.openxmlformats.org/officeDocument/2006/relationships/worksheet" Target="/xl/worksheets/sheet3.xml" Id="R0660238ae5a34350" /><Relationship Type="http://schemas.openxmlformats.org/officeDocument/2006/relationships/worksheet" Target="/xl/worksheets/sheet4.xml" Id="R3abbe82079c44b3f" /><Relationship Type="http://schemas.openxmlformats.org/officeDocument/2006/relationships/worksheet" Target="/xl/worksheets/sheet5.xml" Id="R2fb76b88a6b1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82c154de194d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18adc44190641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Realistic Budget Distribution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Realistic EUR</c:v>
          </c:tx>
          <c:cat>
            <c:strRef>
              <c:f>'Summary'!$A$11:$A$17</c:f>
              <c:strCache>
                <c:ptCount val="0"/>
              </c:strCache>
            </c:strRef>
          </c:cat>
          <c:val>
            <c:numRef>
              <c:f>'Summary'!$B$11:$B$17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Scenarios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Minimal EUR</c:v>
          </c:tx>
          <c:cat>
            <c:strRef>
              <c:f>'Scenarios'!$A$4:$A$11</c:f>
              <c:strCache>
                <c:ptCount val="0"/>
              </c:strCache>
            </c:strRef>
          </c:cat>
          <c:val>
            <c:numRef>
              <c:f>'Scenarios'!$B$4:$B$11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Realistic EUR</c:v>
          </c:tx>
          <c:cat>
            <c:strRef>
              <c:f>'Scenarios'!$A$4:$A$11</c:f>
              <c:strCache>
                <c:ptCount val="0"/>
              </c:strCache>
            </c:strRef>
          </c:cat>
          <c:val>
            <c:numRef>
              <c:f>'Scenarios'!$C$4:$C$11</c:f>
              <c:numCache>
                <c:formatCode>€#,##0</c:formatCode>
                <c:ptCount val="0"/>
              </c:numCache>
            </c:numRef>
          </c:val>
        </c:ser>
        <c:ser>
          <c:idx val="2"/>
          <c:order val="2"/>
          <c:tx>
            <c:v>Strong EUR</c:v>
          </c:tx>
          <c:cat>
            <c:strRef>
              <c:f>'Scenarios'!$A$4:$A$11</c:f>
              <c:strCache>
                <c:ptCount val="0"/>
              </c:strCache>
            </c:strRef>
          </c:cat>
          <c:val>
            <c:numRef>
              <c:f>'Scenarios'!$D$4:$D$11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82c154de194d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8adc44190641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listicBudgetTable" displayName="RealisticBudgetTable" ref="A4:H26" headerRowCount="1">
  <x:tableColumns count="8">
    <x:tableColumn id="1" name="Category"/>
    <x:tableColumn id="2" name="Line item"/>
    <x:tableColumn id="3" name="Monthly EUR"/>
    <x:tableColumn id="4" name="One-time EUR"/>
    <x:tableColumn id="5" name="Annual EUR"/>
    <x:tableColumn id="6" name="Basis / calculation"/>
    <x:tableColumn id="7" name="Priority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0913e7dd2a4b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a02db6a78b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f5f1d00c9114f5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Ashraellen 12-Month Budget 2026</x:v>
      </x:c>
    </x:row>
    <x:row r="2">
      <x:c r="A2" s="11" t="str">
        <x:v>Working grant budget for a multilingual literary, artistic-research and media-production platform. Created 2026-06-08.</x:v>
      </x:c>
    </x:row>
    <x:row r="4">
      <x:c r="A4" s="17" t="str">
        <x:v>Scenario</x:v>
      </x:c>
      <x:c r="B4" s="17" t="str">
        <x:v>Amount EUR</x:v>
      </x:c>
      <x:c r="C4" s="17" t="str">
        <x:v>Purpose</x:v>
      </x:c>
      <x:c r="D4" s="17" t="str">
        <x:v>Use</x:v>
      </x:c>
    </x:row>
    <x:row r="5">
      <x:c r="A5" s="24" t="str">
        <x:v>Minimal year</x:v>
      </x:c>
      <x:c r="B5" s="25" t="n">
        <x:v>55000</x:v>
      </x:c>
      <x:c r="C5" s="24" t="str">
        <x:v>Lean continuation and basic production</x:v>
      </x:c>
      <x:c r="D5" s="24" t="str">
        <x:v>Use when fund ceiling is lower</x:v>
      </x:c>
    </x:row>
    <x:row r="6">
      <x:c r="A6" s="24" t="str">
        <x:v>Realistic year</x:v>
      </x:c>
      <x:c r="B6" s="25" t="n">
        <x:v>65000</x:v>
      </x:c>
      <x:c r="C6" s="24" t="str">
        <x:v>Recommended full 12-month working support</x:v>
      </x:c>
      <x:c r="D6" s="24" t="str">
        <x:v>Primary grant request</x:v>
      </x:c>
    </x:row>
    <x:row r="7">
      <x:c r="A7" s="24" t="str">
        <x:v>Strong year</x:v>
      </x:c>
      <x:c r="B7" s="25" t="n">
        <x:v>70000</x:v>
      </x:c>
      <x:c r="C7" s="24" t="str">
        <x:v>Safer production year with stronger reserve</x:v>
      </x:c>
      <x:c r="D7" s="24" t="str">
        <x:v>Use when fund allows full capacity</x:v>
      </x:c>
    </x:row>
    <x:row r="10">
      <x:c r="A10" s="17" t="str">
        <x:v>Category</x:v>
      </x:c>
      <x:c r="B10" s="17" t="str">
        <x:v>Realistic EUR</x:v>
      </x:c>
      <x:c r="C10" s="17" t="str">
        <x:v>Share</x:v>
      </x:c>
    </x:row>
    <x:row r="11">
      <x:c r="A11" s="24" t="str">
        <x:v>Living support</x:v>
      </x:c>
      <x:c r="B11" s="25" t="n">
        <x:v>24000</x:v>
      </x:c>
      <x:c r="C11" s="36" t="n">
        <x:f>B11/$B$18</x:f>
        <x:v>0.36923076923076925</x:v>
      </x:c>
    </x:row>
    <x:row r="12">
      <x:c r="A12" s="24" t="str">
        <x:v>Digital tools and AI production</x:v>
      </x:c>
      <x:c r="B12" s="25" t="n">
        <x:v>17004</x:v>
      </x:c>
      <x:c r="C12" s="36" t="n">
        <x:f>B12/$B$18</x:f>
        <x:v>0.2616</x:v>
      </x:c>
    </x:row>
    <x:row r="13">
      <x:c r="A13" s="24" t="str">
        <x:v>Video template/render infrastructure</x:v>
      </x:c>
      <x:c r="B13" s="25" t="n">
        <x:v>600</x:v>
      </x:c>
      <x:c r="C13" s="36" t="n">
        <x:f>B13/$B$18</x:f>
        <x:v>0.009230769230769232</x:v>
      </x:c>
    </x:row>
    <x:row r="14">
      <x:c r="A14" s="24" t="str">
        <x:v>Equipment / workstation setup</x:v>
      </x:c>
      <x:c r="B14" s="25" t="n">
        <x:v>6000</x:v>
      </x:c>
      <x:c r="C14" s="36" t="n">
        <x:f>B14/$B$18</x:f>
        <x:v>0.09230769230769231</x:v>
      </x:c>
    </x:row>
    <x:row r="15">
      <x:c r="A15" s="24" t="str">
        <x:v>Internet, backup and technical reserve</x:v>
      </x:c>
      <x:c r="B15" s="25" t="n">
        <x:v>2000</x:v>
      </x:c>
      <x:c r="C15" s="36" t="n">
        <x:f>B15/$B$18</x:f>
        <x:v>0.03076923076923077</x:v>
      </x:c>
    </x:row>
    <x:row r="16">
      <x:c r="A16" s="24" t="str">
        <x:v>Website, domains, admin and publication support</x:v>
      </x:c>
      <x:c r="B16" s="25" t="n">
        <x:v>3000</x:v>
      </x:c>
      <x:c r="C16" s="36" t="n">
        <x:f>B16/$B$18</x:f>
        <x:v>0.046153846153846156</x:v>
      </x:c>
    </x:row>
    <x:row r="17">
      <x:c r="A17" s="24" t="str">
        <x:v>Accounting, tax and administrative reserve</x:v>
      </x:c>
      <x:c r="B17" s="25" t="n">
        <x:v>12396</x:v>
      </x:c>
      <x:c r="C17" s="36" t="n">
        <x:f>B17/$B$18</x:f>
        <x:v>0.1907076923076923</x:v>
      </x:c>
    </x:row>
    <x:row r="18">
      <x:c r="A18" s="37" t="str">
        <x:v>TOTAL</x:v>
      </x:c>
      <x:c r="B18" s="38" t="n">
        <x:f>SUM(B11:B17)</x:f>
        <x:v>65000</x:v>
      </x:c>
      <x:c r="C18" s="3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10913e7dd2a4ba8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36" hidden="0" customWidth="1"/>
    <x:col min="7" max="7" width="14" hidden="0" customWidth="1"/>
    <x:col min="8" max="8" width="48" hidden="0" customWidth="1"/>
  </x:cols>
  <x:sheetData>
    <x:row r="1">
      <x:c r="A1" s="5" t="str">
        <x:v>Realistic Budget — 65,000 EUR</x:v>
      </x:c>
    </x:row>
    <x:row r="2">
      <x:c r="A2" s="11" t="str">
        <x:v>Recommended 12-month budget. Amounts are estimates in EUR; USD services should be rechecked before submission.</x:v>
      </x:c>
    </x:row>
    <x:row r="4">
      <x:c r="A4" s="17" t="str">
        <x:v>Category</x:v>
      </x:c>
      <x:c r="B4" s="17" t="str">
        <x:v>Line item</x:v>
      </x:c>
      <x:c r="C4" s="17" t="str">
        <x:v>Monthly EUR</x:v>
      </x:c>
      <x:c r="D4" s="17" t="str">
        <x:v>One-time EUR</x:v>
      </x:c>
      <x:c r="E4" s="17" t="str">
        <x:v>Annual EUR</x:v>
      </x:c>
      <x:c r="F4" s="17" t="str">
        <x:v>Basis / calculation</x:v>
      </x:c>
      <x:c r="G4" s="17" t="str">
        <x:v>Priority</x:v>
      </x:c>
      <x:c r="H4" s="17" t="str">
        <x:v>Notes</x:v>
      </x:c>
    </x:row>
    <x:row r="5">
      <x:c r="A5" s="24" t="str">
        <x:v>Living support</x:v>
      </x:c>
      <x:c r="B5" s="24" t="str">
        <x:v>Author living support</x:v>
      </x:c>
      <x:c r="C5" s="25" t="n">
        <x:v>2000</x:v>
      </x:c>
      <x:c r="D5" s="25" t="n">
        <x:v>0</x:v>
      </x:c>
      <x:c r="E5" s="25" t="n">
        <x:f>C5*12+D5</x:f>
        <x:v>24000</x:v>
      </x:c>
      <x:c r="F5" s="24" t="str">
        <x:v>2,000 EUR/month × 12</x:v>
      </x:c>
      <x:c r="G5" s="24" t="str">
        <x:v>Essential</x:v>
      </x:c>
      <x:c r="H5" s="24" t="str">
        <x:v>Minimum stable living support to reduce dependence on taxi/Uber work.</x:v>
      </x:c>
    </x:row>
    <x:row r="6">
      <x:c r="A6" s="24" t="str">
        <x:v>Digital tools and AI production</x:v>
      </x:c>
      <x:c r="B6" s="24" t="str">
        <x:v>ElevenLabs Business / multilingual voice production</x:v>
      </x:c>
      <x:c r="C6" s="25" t="n">
        <x:v>920</x:v>
      </x:c>
      <x:c r="D6" s="25" t="n">
        <x:v>0</x:v>
      </x:c>
      <x:c r="E6" s="25" t="n">
        <x:f>C6*12+D6</x:f>
        <x:v>11040</x:v>
      </x:c>
      <x:c r="F6" s="24" t="str">
        <x:v>Approx. $990/month; 6M credits and ~6,000 TTS minutes/month</x:v>
      </x:c>
      <x:c r="G6" s="24" t="str">
        <x:v>Essential</x:v>
      </x:c>
      <x:c r="H6" s="24" t="str">
        <x:v>Needed for long-form videos, Shorts, multilingual versions, re-generation and voice consistency.</x:v>
      </x:c>
    </x:row>
    <x:row r="7">
      <x:c r="A7" s="24" t="str">
        <x:v>Digital tools and AI production</x:v>
      </x:c>
      <x:c r="B7" s="24" t="str">
        <x:v>Google AI Ultra / video generation and cloud storage</x:v>
      </x:c>
      <x:c r="C7" s="25" t="n">
        <x:v>200</x:v>
      </x:c>
      <x:c r="D7" s="25" t="n">
        <x:v>0</x:v>
      </x:c>
      <x:c r="E7" s="25" t="n">
        <x:f>C7*12+D7</x:f>
        <x:v>2400</x:v>
      </x:c>
      <x:c r="F7" s="24" t="str">
        <x:v>Approx. 200 EUR/month; includes high-capacity AI access and 20 TB storage</x:v>
      </x:c>
      <x:c r="G7" s="24" t="str">
        <x:v>Essential</x:v>
      </x:c>
      <x:c r="H7" s="24" t="str">
        <x:v>For Flow/Veo-style generation, large media storage and project asset management.</x:v>
      </x:c>
    </x:row>
    <x:row r="8">
      <x:c r="A8" s="24" t="str">
        <x:v>Digital tools and AI production</x:v>
      </x:c>
      <x:c r="B8" s="24" t="str">
        <x:v>ChatGPT / Codex-assisted writing, coding and project development</x:v>
      </x:c>
      <x:c r="C8" s="25" t="n">
        <x:v>190</x:v>
      </x:c>
      <x:c r="D8" s="25" t="n">
        <x:v>0</x:v>
      </x:c>
      <x:c r="E8" s="25" t="n">
        <x:f>C8*12+D8</x:f>
        <x:v>2280</x:v>
      </x:c>
      <x:c r="F8" s="24" t="str">
        <x:v>Approx. Pro-level AI work support</x:v>
      </x:c>
      <x:c r="G8" s="24" t="str">
        <x:v>Essential</x:v>
      </x:c>
      <x:c r="H8" s="24" t="str">
        <x:v>For site development, Remotion templates, editorial work, translations and project planning.</x:v>
      </x:c>
    </x:row>
    <x:row r="9">
      <x:c r="A9" s="24" t="str">
        <x:v>Digital tools and AI production</x:v>
      </x:c>
      <x:c r="B9" s="24" t="str">
        <x:v>CapCut / editing support</x:v>
      </x:c>
      <x:c r="C9" s="25" t="n">
        <x:v>12</x:v>
      </x:c>
      <x:c r="D9" s="25" t="n">
        <x:v>0</x:v>
      </x:c>
      <x:c r="E9" s="25" t="n">
        <x:f>C9*12+D9</x:f>
        <x:v>144</x:v>
      </x:c>
      <x:c r="F9" s="24" t="str">
        <x:v>Approx. 12 EUR/month</x:v>
      </x:c>
      <x:c r="G9" s="24" t="str">
        <x:v>Useful</x:v>
      </x:c>
      <x:c r="H9" s="24" t="str">
        <x:v>Secondary editing and subtitles; may be reduced once Remotion workflow matures.</x:v>
      </x:c>
    </x:row>
    <x:row r="10">
      <x:c r="A10" s="24" t="str">
        <x:v>Digital tools and AI production</x:v>
      </x:c>
      <x:c r="B10" s="24" t="str">
        <x:v>SEO / YouTube analytics tools</x:v>
      </x:c>
      <x:c r="C10" s="25" t="n">
        <x:v>10</x:v>
      </x:c>
      <x:c r="D10" s="25" t="n">
        <x:v>0</x:v>
      </x:c>
      <x:c r="E10" s="25" t="n">
        <x:f>C10*12+D10</x:f>
        <x:v>120</x:v>
      </x:c>
      <x:c r="F10" s="24" t="str">
        <x:v>Approx. 10 EUR/month</x:v>
      </x:c>
      <x:c r="G10" s="24" t="str">
        <x:v>Useful</x:v>
      </x:c>
      <x:c r="H10" s="24" t="str">
        <x:v>Tags, metadata, trend checking and channel optimisation.</x:v>
      </x:c>
    </x:row>
    <x:row r="11">
      <x:c r="A11" s="24" t="str">
        <x:v>Digital tools and AI production</x:v>
      </x:c>
      <x:c r="B11" s="24" t="str">
        <x:v>Coding, render and technical service reserve</x:v>
      </x:c>
      <x:c r="C11" s="25" t="n">
        <x:v>85</x:v>
      </x:c>
      <x:c r="D11" s="25" t="n">
        <x:v>0</x:v>
      </x:c>
      <x:c r="E11" s="25" t="n">
        <x:f>C11*12+D11</x:f>
        <x:v>1020</x:v>
      </x:c>
      <x:c r="F11" s="24" t="str">
        <x:v>Approx. 85 EUR/month</x:v>
      </x:c>
      <x:c r="G11" s="24" t="str">
        <x:v>Important</x:v>
      </x:c>
      <x:c r="H11" s="24" t="str">
        <x:v>Reserve for GitHub-related services, render testing, hosting add-ons or small dev tools.</x:v>
      </x:c>
    </x:row>
    <x:row r="12">
      <x:c r="A12" s="24" t="str">
        <x:v>Video template/render infrastructure</x:v>
      </x:c>
      <x:c r="B12" s="24" t="str">
        <x:v>Remotion template-based video production reserve</x:v>
      </x:c>
      <x:c r="C12" s="25" t="n">
        <x:v>50</x:v>
      </x:c>
      <x:c r="D12" s="25" t="n">
        <x:v>0</x:v>
      </x:c>
      <x:c r="E12" s="25" t="n">
        <x:f>C12*12+D12</x:f>
        <x:v>600</x:v>
      </x:c>
      <x:c r="F12" s="24" t="str">
        <x:v>50 EUR/month reserve; Remotion itself is free for individual/small-company use</x:v>
      </x:c>
      <x:c r="G12" s="24" t="str">
        <x:v>Important</x:v>
      </x:c>
      <x:c r="H12" s="24" t="str">
        <x:v>For reusable video templates, local/occasional cloud rendering, testing and package needs.</x:v>
      </x:c>
    </x:row>
    <x:row r="13">
      <x:c r="A13" s="24" t="str">
        <x:v>Equipment / workstation setup</x:v>
      </x:c>
      <x:c r="B13" s="24" t="str">
        <x:v>17-inch+ high-performance laptop for editing and production</x:v>
      </x:c>
      <x:c r="C13" s="25" t="n">
        <x:v>0</x:v>
      </x:c>
      <x:c r="D13" s="25" t="n">
        <x:v>3700</x:v>
      </x:c>
      <x:c r="E13" s="25" t="n">
        <x:f>C13*12+D13</x:f>
        <x:v>3700</x:v>
      </x:c>
      <x:c r="F13" s="24" t="str">
        <x:v>One-time equipment purchase</x:v>
      </x:c>
      <x:c r="G13" s="24" t="str">
        <x:v>Essential</x:v>
      </x:c>
      <x:c r="H13" s="24" t="str">
        <x:v>Portable workstation for video editing, AI assets, site development and travel work.</x:v>
      </x:c>
    </x:row>
    <x:row r="14">
      <x:c r="A14" s="24" t="str">
        <x:v>Equipment / workstation setup</x:v>
      </x:c>
      <x:c r="B14" s="24" t="str">
        <x:v>Ultrawide curved external monitor</x:v>
      </x:c>
      <x:c r="C14" s="25" t="n">
        <x:v>0</x:v>
      </x:c>
      <x:c r="D14" s="25" t="n">
        <x:v>900</x:v>
      </x:c>
      <x:c r="E14" s="25" t="n">
        <x:f>C14*12+D14</x:f>
        <x:v>900</x:v>
      </x:c>
      <x:c r="F14" s="24" t="str">
        <x:v>One-time equipment purchase</x:v>
      </x:c>
      <x:c r="G14" s="24" t="str">
        <x:v>Essential</x:v>
      </x:c>
      <x:c r="H14" s="24" t="str">
        <x:v>Needed for editing timeline, multilingual assets, website and document work.</x:v>
      </x:c>
    </x:row>
    <x:row r="15">
      <x:c r="A15" s="24" t="str">
        <x:v>Equipment / workstation setup</x:v>
      </x:c>
      <x:c r="B15" s="24" t="str">
        <x:v>External SSD and backup storage</x:v>
      </x:c>
      <x:c r="C15" s="25" t="n">
        <x:v>0</x:v>
      </x:c>
      <x:c r="D15" s="25" t="n">
        <x:v>450</x:v>
      </x:c>
      <x:c r="E15" s="25" t="n">
        <x:f>C15*12+D15</x:f>
        <x:v>450</x:v>
      </x:c>
      <x:c r="F15" s="24" t="str">
        <x:v>One-time purchase</x:v>
      </x:c>
      <x:c r="G15" s="24" t="str">
        <x:v>Essential</x:v>
      </x:c>
      <x:c r="H15" s="24" t="str">
        <x:v>Redundant storage for video/audio source files and book/project archives.</x:v>
      </x:c>
    </x:row>
    <x:row r="16">
      <x:c r="A16" s="24" t="str">
        <x:v>Equipment / workstation setup</x:v>
      </x:c>
      <x:c r="B16" s="24" t="str">
        <x:v>Hub, peripherals, cables, protective accessories</x:v>
      </x:c>
      <x:c r="C16" s="25" t="n">
        <x:v>0</x:v>
      </x:c>
      <x:c r="D16" s="25" t="n">
        <x:v>350</x:v>
      </x:c>
      <x:c r="E16" s="25" t="n">
        <x:f>C16*12+D16</x:f>
        <x:v>350</x:v>
      </x:c>
      <x:c r="F16" s="24" t="str">
        <x:v>One-time purchase</x:v>
      </x:c>
      <x:c r="G16" s="24" t="str">
        <x:v>Important</x:v>
      </x:c>
      <x:c r="H16" s="24" t="str">
        <x:v>Basic reliable workstation setup without immediate dock-station requirement.</x:v>
      </x:c>
    </x:row>
    <x:row r="17">
      <x:c r="A17" s="24" t="str">
        <x:v>Equipment / workstation setup</x:v>
      </x:c>
      <x:c r="B17" s="24" t="str">
        <x:v>Equipment contingency</x:v>
      </x:c>
      <x:c r="C17" s="25" t="n">
        <x:v>0</x:v>
      </x:c>
      <x:c r="D17" s="25" t="n">
        <x:v>600</x:v>
      </x:c>
      <x:c r="E17" s="25" t="n">
        <x:f>C17*12+D17</x:f>
        <x:v>600</x:v>
      </x:c>
      <x:c r="F17" s="24" t="str">
        <x:v>One-time reserve</x:v>
      </x:c>
      <x:c r="G17" s="24" t="str">
        <x:v>Important</x:v>
      </x:c>
      <x:c r="H17" s="24" t="str">
        <x:v>Covers price changes, replacements or unexpected accessories.</x:v>
      </x:c>
    </x:row>
    <x:row r="18">
      <x:c r="A18" s="24" t="str">
        <x:v>Internet, backup and technical reserve</x:v>
      </x:c>
      <x:c r="B18" s="24" t="str">
        <x:v>Travel internet / Starlink-style independent connection</x:v>
      </x:c>
      <x:c r="C18" s="25" t="n">
        <x:v>100</x:v>
      </x:c>
      <x:c r="D18" s="25" t="n">
        <x:v>0</x:v>
      </x:c>
      <x:c r="E18" s="25" t="n">
        <x:f>C18*12+D18</x:f>
        <x:v>1200</x:v>
      </x:c>
      <x:c r="F18" s="24" t="str">
        <x:v>Approx. 100 EUR/month</x:v>
      </x:c>
      <x:c r="G18" s="24" t="str">
        <x:v>Important</x:v>
      </x:c>
      <x:c r="H18" s="24" t="str">
        <x:v>Keeps production independent while travelling or moving.</x:v>
      </x:c>
    </x:row>
    <x:row r="19">
      <x:c r="A19" s="24" t="str">
        <x:v>Internet, backup and technical reserve</x:v>
      </x:c>
      <x:c r="B19" s="24" t="str">
        <x:v>Mobile backup data and connectivity</x:v>
      </x:c>
      <x:c r="C19" s="25" t="n">
        <x:v>50</x:v>
      </x:c>
      <x:c r="D19" s="25" t="n">
        <x:v>0</x:v>
      </x:c>
      <x:c r="E19" s="25" t="n">
        <x:f>C19*12+D19</x:f>
        <x:v>600</x:v>
      </x:c>
      <x:c r="F19" s="24" t="str">
        <x:v>Approx. 50 EUR/month</x:v>
      </x:c>
      <x:c r="G19" s="24" t="str">
        <x:v>Important</x:v>
      </x:c>
      <x:c r="H19" s="24" t="str">
        <x:v>Backup connection for uploads, calls, applications and publishing.</x:v>
      </x:c>
    </x:row>
    <x:row r="20">
      <x:c r="A20" s="24" t="str">
        <x:v>Internet, backup and technical reserve</x:v>
      </x:c>
      <x:c r="B20" s="24" t="str">
        <x:v>Additional backup/storage reserve</x:v>
      </x:c>
      <x:c r="C20" s="25" t="n">
        <x:v>0</x:v>
      </x:c>
      <x:c r="D20" s="25" t="n">
        <x:v>200</x:v>
      </x:c>
      <x:c r="E20" s="25" t="n">
        <x:f>C20*12+D20</x:f>
        <x:v>200</x:v>
      </x:c>
      <x:c r="F20" s="24" t="str">
        <x:v>One-time annual reserve</x:v>
      </x:c>
      <x:c r="G20" s="24" t="str">
        <x:v>Useful</x:v>
      </x:c>
      <x:c r="H20" s="24" t="str">
        <x:v>Extra drives, cloud top-ups or recovery needs.</x:v>
      </x:c>
    </x:row>
    <x:row r="21">
      <x:c r="A21" s="24" t="str">
        <x:v>Website, domains, admin and publication support</x:v>
      </x:c>
      <x:c r="B21" s="24" t="str">
        <x:v>Website, domains, hosting and maintenance</x:v>
      </x:c>
      <x:c r="C21" s="25" t="n">
        <x:v>0</x:v>
      </x:c>
      <x:c r="D21" s="25" t="n">
        <x:v>300</x:v>
      </x:c>
      <x:c r="E21" s="25" t="n">
        <x:f>C21*12+D21</x:f>
        <x:v>300</x:v>
      </x:c>
      <x:c r="F21" s="24" t="str">
        <x:v>Annual estimate</x:v>
      </x:c>
      <x:c r="G21" s="24" t="str">
        <x:v>Essential</x:v>
      </x:c>
      <x:c r="H21" s="24" t="str">
        <x:v>Domain, small hosting/admin costs and site reliability.</x:v>
      </x:c>
    </x:row>
    <x:row r="22">
      <x:c r="A22" s="24" t="str">
        <x:v>Website, domains, admin and publication support</x:v>
      </x:c>
      <x:c r="B22" s="24" t="str">
        <x:v>Website/admin tools and documentation</x:v>
      </x:c>
      <x:c r="C22" s="25" t="n">
        <x:v>0</x:v>
      </x:c>
      <x:c r="D22" s="25" t="n">
        <x:v>300</x:v>
      </x:c>
      <x:c r="E22" s="25" t="n">
        <x:f>C22*12+D22</x:f>
        <x:v>300</x:v>
      </x:c>
      <x:c r="F22" s="24" t="str">
        <x:v>Annual estimate</x:v>
      </x:c>
      <x:c r="G22" s="24" t="str">
        <x:v>Important</x:v>
      </x:c>
      <x:c r="H22" s="24" t="str">
        <x:v>PDF updates, documentation, repository/site maintenance.</x:v>
      </x:c>
    </x:row>
    <x:row r="23">
      <x:c r="A23" s="24" t="str">
        <x:v>Website, domains, admin and publication support</x:v>
      </x:c>
      <x:c r="B23" s="24" t="str">
        <x:v>Book/publication preparation costs</x:v>
      </x:c>
      <x:c r="C23" s="25" t="n">
        <x:v>0</x:v>
      </x:c>
      <x:c r="D23" s="25" t="n">
        <x:v>900</x:v>
      </x:c>
      <x:c r="E23" s="25" t="n">
        <x:f>C23*12+D23</x:f>
        <x:v>900</x:v>
      </x:c>
      <x:c r="F23" s="24" t="str">
        <x:v>Annual estimate</x:v>
      </x:c>
      <x:c r="G23" s="24" t="str">
        <x:v>Important</x:v>
      </x:c>
      <x:c r="H23" s="24" t="str">
        <x:v>File prep, covers/assets, publication platform needs, small editorial outputs.</x:v>
      </x:c>
    </x:row>
    <x:row r="24">
      <x:c r="A24" s="24" t="str">
        <x:v>Website, domains, admin and publication support</x:v>
      </x:c>
      <x:c r="B24" s="24" t="str">
        <x:v>Project communication and institutional materials</x:v>
      </x:c>
      <x:c r="C24" s="25" t="n">
        <x:v>0</x:v>
      </x:c>
      <x:c r="D24" s="25" t="n">
        <x:v>1500</x:v>
      </x:c>
      <x:c r="E24" s="25" t="n">
        <x:f>C24*12+D24</x:f>
        <x:v>1500</x:v>
      </x:c>
      <x:c r="F24" s="24" t="str">
        <x:v>Annual estimate</x:v>
      </x:c>
      <x:c r="G24" s="24" t="str">
        <x:v>Important</x:v>
      </x:c>
      <x:c r="H24" s="24" t="str">
        <x:v>Professional dossier updates, proposal materials, outreach and translations under author's control.</x:v>
      </x:c>
    </x:row>
    <x:row r="25">
      <x:c r="A25" s="24" t="str">
        <x:v>Accounting, tax and administrative reserve</x:v>
      </x:c>
      <x:c r="B25" s="24" t="str">
        <x:v>Accounting, tax and administrative reserve</x:v>
      </x:c>
      <x:c r="C25" s="25" t="n">
        <x:v>0</x:v>
      </x:c>
      <x:c r="D25" s="25" t="n">
        <x:v>12396</x:v>
      </x:c>
      <x:c r="E25" s="25" t="n">
        <x:f>C25*12+D25</x:f>
        <x:v>12396</x:v>
      </x:c>
      <x:c r="F25" s="24" t="str">
        <x:v>Balancing reserve to reach 65,000 EUR</x:v>
      </x:c>
      <x:c r="G25" s="24" t="str">
        <x:v>Essential</x:v>
      </x:c>
      <x:c r="H25" s="24" t="str">
        <x:v>Reserve for taxes, accounting, legal/admin uncertainty and grant-receipt structure in Poland.</x:v>
      </x:c>
    </x:row>
    <x:row r="26">
      <x:c r="A26" s="37" t="str">
        <x:v>TOTAL REALISTIC BUDGET</x:v>
      </x:c>
      <x:c r="B26" s="37"/>
      <x:c r="C26" s="38"/>
      <x:c r="D26" s="38"/>
      <x:c r="E26" s="38" t="n">
        <x:f>SUM(E5:E25)</x:f>
        <x:v>65000</x:v>
      </x:c>
      <x:c r="F26" s="37"/>
      <x:c r="G26" s="37"/>
      <x:c r="H26" s="37"/>
    </x:row>
  </x:sheetData>
  <x:mergeCells>
    <x:mergeCell ref="A1:H1"/>
    <x:mergeCell ref="A2:H2"/>
    <x:mergeCell ref="A26:D26"/>
  </x:mergeCells>
  <x:pageMargins left="0.7" right="0.7" top="0.75" bottom="0.75" header="0.3" footer="0.3"/>
  <x:tableParts count="1">
    <x:tablePart xmlns:r="http://schemas.openxmlformats.org/officeDocument/2006/relationships" r:id="R34a02db6a78b4b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60" hidden="0" customWidth="1"/>
  </x:cols>
  <x:sheetData>
    <x:row r="1">
      <x:c r="A1" s="5" t="str">
        <x:v>Budget Scenarios</x:v>
      </x:c>
    </x:row>
    <x:row r="3">
      <x:c r="A3" s="17" t="str">
        <x:v>Category</x:v>
      </x:c>
      <x:c r="B3" s="17" t="str">
        <x:v>Minimal EUR</x:v>
      </x:c>
      <x:c r="C3" s="17" t="str">
        <x:v>Realistic EUR</x:v>
      </x:c>
      <x:c r="D3" s="17" t="str">
        <x:v>Strong EUR</x:v>
      </x:c>
      <x:c r="E3" s="17" t="str">
        <x:v>Notes</x:v>
      </x:c>
    </x:row>
    <x:row r="4">
      <x:c r="A4" s="24" t="str">
        <x:v>Living support</x:v>
      </x:c>
      <x:c r="B4" s="25" t="n">
        <x:v>24000</x:v>
      </x:c>
      <x:c r="C4" s="25" t="n">
        <x:v>24000</x:v>
      </x:c>
      <x:c r="D4" s="25" t="n">
        <x:v>24000</x:v>
      </x:c>
      <x:c r="E4" s="24" t="str">
        <x:v>2,000 EUR/month baseline.</x:v>
      </x:c>
    </x:row>
    <x:row r="5">
      <x:c r="A5" s="24" t="str">
        <x:v>Digital tools and AI production</x:v>
      </x:c>
      <x:c r="B5" s="25" t="n">
        <x:v>12500</x:v>
      </x:c>
      <x:c r="C5" s="25" t="n">
        <x:v>17004</x:v>
      </x:c>
      <x:c r="D5" s="25" t="n">
        <x:v>18000</x:v>
      </x:c>
      <x:c r="E5" s="24" t="str">
        <x:v>Minimal assumes Scale/limited output; realistic/strong assume Business-level voice capacity.</x:v>
      </x:c>
    </x:row>
    <x:row r="6">
      <x:c r="A6" s="24" t="str">
        <x:v>Video template/render infrastructure</x:v>
      </x:c>
      <x:c r="B6" s="25" t="n">
        <x:v>500</x:v>
      </x:c>
      <x:c r="C6" s="25" t="n">
        <x:v>600</x:v>
      </x:c>
      <x:c r="D6" s="25" t="n">
        <x:v>1000</x:v>
      </x:c>
      <x:c r="E6" s="24" t="str">
        <x:v>Remotion-based templates; software is free for small/individual use, reserve covers render/testing.</x:v>
      </x:c>
    </x:row>
    <x:row r="7">
      <x:c r="A7" s="24" t="str">
        <x:v>Equipment / workstation setup</x:v>
      </x:c>
      <x:c r="B7" s="25" t="n">
        <x:v>5000</x:v>
      </x:c>
      <x:c r="C7" s="25" t="n">
        <x:v>6000</x:v>
      </x:c>
      <x:c r="D7" s="25" t="n">
        <x:v>7000</x:v>
      </x:c>
      <x:c r="E7" s="24" t="str">
        <x:v>Portable editing workstation, monitor, storage, peripherals.</x:v>
      </x:c>
    </x:row>
    <x:row r="8">
      <x:c r="A8" s="24" t="str">
        <x:v>Internet, backup and technical reserve</x:v>
      </x:c>
      <x:c r="B8" s="25" t="n">
        <x:v>1500</x:v>
      </x:c>
      <x:c r="C8" s="25" t="n">
        <x:v>2000</x:v>
      </x:c>
      <x:c r="D8" s="25" t="n">
        <x:v>2500</x:v>
      </x:c>
      <x:c r="E8" s="24" t="str">
        <x:v>Travel internet, mobile backup, storage reserve.</x:v>
      </x:c>
    </x:row>
    <x:row r="9">
      <x:c r="A9" s="24" t="str">
        <x:v>Website, domains, admin and publication support</x:v>
      </x:c>
      <x:c r="B9" s="25" t="n">
        <x:v>1000</x:v>
      </x:c>
      <x:c r="C9" s="25" t="n">
        <x:v>3000</x:v>
      </x:c>
      <x:c r="D9" s="25" t="n">
        <x:v>4000</x:v>
      </x:c>
      <x:c r="E9" s="24" t="str">
        <x:v>Site, public documents, publication prep, institutional materials.</x:v>
      </x:c>
    </x:row>
    <x:row r="10">
      <x:c r="A10" s="24" t="str">
        <x:v>Accounting, tax and administrative reserve</x:v>
      </x:c>
      <x:c r="B10" s="25" t="n">
        <x:v>10500</x:v>
      </x:c>
      <x:c r="C10" s="25" t="n">
        <x:v>12396</x:v>
      </x:c>
      <x:c r="D10" s="25" t="n">
        <x:v>13500</x:v>
      </x:c>
      <x:c r="E10" s="24" t="str">
        <x:v>Depends on grant structure and Polish tax/accounting treatment.</x:v>
      </x:c>
    </x:row>
    <x:row r="11">
      <x:c r="A11" s="37" t="str">
        <x:v>TOTAL</x:v>
      </x:c>
      <x:c r="B11" s="38" t="n">
        <x:f>SUM(B4:B10)</x:f>
        <x:v>55000</x:v>
      </x:c>
      <x:c r="C11" s="38" t="n">
        <x:f>SUM(C4:C10)</x:f>
        <x:v>65000</x:v>
      </x:c>
      <x:c r="D11" s="38" t="n">
        <x:f>SUM(D4:D10)</x:f>
        <x:v>70000</x:v>
      </x:c>
      <x:c r="E11" s="3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f5f1d00c9114f5c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60" hidden="0" customWidth="1"/>
  </x:cols>
  <x:sheetData>
    <x:row r="1">
      <x:c r="A1" s="5" t="str">
        <x:v>Production Assumptions and Voice Minutes</x:v>
      </x:c>
    </x:row>
    <x:row r="3">
      <x:c r="A3" s="17" t="str">
        <x:v>Assumption</x:v>
      </x:c>
      <x:c r="B3" s="17" t="str">
        <x:v>Quantity</x:v>
      </x:c>
      <x:c r="C3" s="17" t="str">
        <x:v>Minutes each</x:v>
      </x:c>
      <x:c r="D3" s="17" t="str">
        <x:v>Languages</x:v>
      </x:c>
      <x:c r="E3" s="17" t="str">
        <x:v>Monthly minutes</x:v>
      </x:c>
      <x:c r="F3" s="17" t="str">
        <x:v>Notes</x:v>
      </x:c>
    </x:row>
    <x:row r="4">
      <x:c r="A4" s="24" t="str">
        <x:v>Long-form videos</x:v>
      </x:c>
      <x:c r="B4" s="46" t="n">
        <x:v>14</x:v>
      </x:c>
      <x:c r="C4" s="46" t="n">
        <x:v>15</x:v>
      </x:c>
      <x:c r="D4" s="46" t="n">
        <x:v>9</x:v>
      </x:c>
      <x:c r="E4" s="46" t="n">
        <x:f>B4*C4*D4</x:f>
        <x:v>1890</x:v>
      </x:c>
      <x:c r="F4" s="24" t="str">
        <x:v>Large monthly video output across nine languages.</x:v>
      </x:c>
    </x:row>
    <x:row r="5">
      <x:c r="A5" s="24" t="str">
        <x:v>Saint Whine Shorts - EN only</x:v>
      </x:c>
      <x:c r="B5" s="46" t="n">
        <x:v>30</x:v>
      </x:c>
      <x:c r="C5" s="46" t="n">
        <x:v>1</x:v>
      </x:c>
      <x:c r="D5" s="46" t="n">
        <x:v>1</x:v>
      </x:c>
      <x:c r="E5" s="46" t="n">
        <x:f>B5*C5*D5</x:f>
        <x:v>30</x:v>
      </x:c>
      <x:c r="F5" s="24" t="str">
        <x:v>One short per day, only English.</x:v>
      </x:c>
    </x:row>
    <x:row r="6">
      <x:c r="A6" s="24" t="str">
        <x:v>Saint Whine Shorts - 9 languages</x:v>
      </x:c>
      <x:c r="B6" s="46" t="n">
        <x:v>30</x:v>
      </x:c>
      <x:c r="C6" s="46" t="n">
        <x:v>1</x:v>
      </x:c>
      <x:c r="D6" s="46" t="n">
        <x:v>9</x:v>
      </x:c>
      <x:c r="E6" s="46" t="n">
        <x:f>B6*C6*D6</x:f>
        <x:v>270</x:v>
      </x:c>
      <x:c r="F6" s="24" t="str">
        <x:v>If Shorts are localised across all project languages.</x:v>
      </x:c>
    </x:row>
    <x:row r="7">
      <x:c r="A7" s="24" t="str">
        <x:v>Re-generation / mistakes buffer</x:v>
      </x:c>
      <x:c r="B7" s="46" t="n">
        <x:v>0.15</x:v>
      </x:c>
      <x:c r="C7" s="46" t="str"/>
      <x:c r="D7" s="46" t="str"/>
      <x:c r="E7" s="46" t="n">
        <x:f>(E4+E5)*B7</x:f>
        <x:v>288</x:v>
      </x:c>
      <x:c r="F7" s="24" t="str">
        <x:v>15% buffer added to monthly voice minutes.</x:v>
      </x:c>
    </x:row>
    <x:row r="8">
      <x:c r="A8" s="24"/>
      <x:c r="B8" s="46"/>
      <x:c r="C8" s="46"/>
      <x:c r="D8" s="46"/>
      <x:c r="E8" s="46"/>
      <x:c r="F8" s="24"/>
    </x:row>
    <x:row r="9">
      <x:c r="A9" s="47" t="str">
        <x:v>Scenario</x:v>
      </x:c>
      <x:c r="B9" s="48" t="str">
        <x:v>Base minutes</x:v>
      </x:c>
      <x:c r="C9" s="48" t="str">
        <x:v>With 15% buffer</x:v>
      </x:c>
      <x:c r="D9" s="48" t="str">
        <x:v>ElevenLabs fit</x:v>
      </x:c>
      <x:c r="E9" s="46"/>
      <x:c r="F9" s="24"/>
    </x:row>
    <x:row r="10">
      <x:c r="A10" s="24" t="str">
        <x:v>Long-form + EN Shorts</x:v>
      </x:c>
      <x:c r="B10" s="46" t="n">
        <x:f>E4+E5</x:f>
        <x:v>1920</x:v>
      </x:c>
      <x:c r="C10" s="46" t="n">
        <x:f>B10*1.15</x:f>
        <x:v>2208</x:v>
      </x:c>
      <x:c r="D10" s="46" t="str">
        <x:v>Scale (~1,800 min) is insufficient; Business (~6,000 min) fits.</x:v>
      </x:c>
      <x:c r="E10" s="46"/>
      <x:c r="F10" s="24"/>
    </x:row>
    <x:row r="11">
      <x:c r="A11" s="24" t="str">
        <x:v>Long-form + 9-language Shorts</x:v>
      </x:c>
      <x:c r="B11" s="46" t="n">
        <x:f>E4+E6</x:f>
        <x:v>2160</x:v>
      </x:c>
      <x:c r="C11" s="46" t="n">
        <x:f>B11*1.15</x:f>
        <x:v>2484</x:v>
      </x:c>
      <x:c r="D11" s="46" t="str">
        <x:v>Business (~6,000 min) fits with room for tests and re-generation.</x:v>
      </x:c>
      <x:c r="E11" s="46"/>
      <x:c r="F11" s="2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5" hidden="0" customWidth="1"/>
    <x:col min="4" max="4" width="55" hidden="0" customWidth="1"/>
  </x:cols>
  <x:sheetData>
    <x:row r="1">
      <x:c r="A1" s="5" t="str">
        <x:v>Budget Sources and Notes</x:v>
      </x:c>
    </x:row>
    <x:row r="3">
      <x:c r="A3" s="17" t="str">
        <x:v>Source / service</x:v>
      </x:c>
      <x:c r="B3" s="17" t="str">
        <x:v>URL</x:v>
      </x:c>
      <x:c r="C3" s="17" t="str">
        <x:v>Relevant fact used</x:v>
      </x:c>
      <x:c r="D3" s="17" t="str">
        <x:v>Budget treatment</x:v>
      </x:c>
    </x:row>
    <x:row r="4">
      <x:c r="A4" s="24" t="str">
        <x:v>ElevenLabs pricing</x:v>
      </x:c>
      <x:c r="B4" s="24" t="str">
        <x:v>https://elevenlabs.io/pricing</x:v>
      </x:c>
      <x:c r="C4" s="24" t="str">
        <x:v>Business: $990/month, 6M credits, ~6,000 TTS minutes. Scale: $299/month, 1.8M credits, ~1,800 minutes.</x:v>
      </x:c>
      <x:c r="D4" s="24" t="str">
        <x:v>Budget assumes Business-level voice production for full multilingual output.</x:v>
      </x:c>
    </x:row>
    <x:row r="5">
      <x:c r="A5" s="24" t="str">
        <x:v>Remotion license</x:v>
      </x:c>
      <x:c r="B5" s="24" t="str">
        <x:v>https://www.remotion.dev/license</x:v>
      </x:c>
      <x:c r="C5" s="24" t="str">
        <x:v>Individuals and small companies may use Remotion for free; company license applies to larger for-profit organizations.</x:v>
      </x:c>
      <x:c r="D5" s="24" t="str">
        <x:v>No subscription line; 600 EUR annual reserve for render/testing infrastructure.</x:v>
      </x:c>
    </x:row>
    <x:row r="6">
      <x:c r="A6" s="24" t="str">
        <x:v>Google AI plans</x:v>
      </x:c>
      <x:c r="B6" s="24" t="str">
        <x:v>https://one.google.com/about/google-ai-plans/</x:v>
      </x:c>
      <x:c r="C6" s="24" t="str">
        <x:v>Google AI Ultra includes AI access and cloud storage starting at 20 TB.</x:v>
      </x:c>
      <x:c r="D6" s="24" t="str">
        <x:v>Budget estimate: 200 EUR/month for AI generation and storage.</x:v>
      </x:c>
    </x:row>
    <x:row r="7">
      <x:c r="A7" s="24" t="str">
        <x:v>ChatGPT pricing</x:v>
      </x:c>
      <x:c r="B7" s="24" t="str">
        <x:v>https://openai.com/chatgpt/pricing/</x:v>
      </x:c>
      <x:c r="C7" s="24" t="str">
        <x:v>Plus/Pro plans include features useful for coding, data analysis, file work and project development.</x:v>
      </x:c>
      <x:c r="D7" s="24" t="str">
        <x:v>Budget estimate: 190 EUR/month for advanced AI-assisted writing/coding/project development.</x:v>
      </x:c>
    </x:row>
    <x:row r="8">
      <x:c r="A8" s="24" t="str">
        <x:v>Project production assumption</x:v>
      </x:c>
      <x:c r="B8" s="24" t="str">
        <x:v>Internal Ashraellen planning</x:v>
      </x:c>
      <x:c r="C8" s="24" t="str">
        <x:v>14 long-form videos/month × 15 minutes × 9 languages = 1,890 voice minutes/month; plus daily Saint Whine Shorts.</x:v>
      </x:c>
      <x:c r="D8" s="24" t="str">
        <x:v>Requires Business-level voice capacity or equivalent.</x:v>
      </x:c>
    </x:row>
  </x:sheetData>
  <x:mergeCells>
    <x:mergeCell ref="A1:D1"/>
  </x:mergeCells>
  <x:pageMargins left="0.7" right="0.7" top="0.75" bottom="0.75" header="0.3" footer="0.3"/>
</x:worksheet>
</file>