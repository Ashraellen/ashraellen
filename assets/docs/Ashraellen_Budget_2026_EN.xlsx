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d3d9c80b4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5c3df1640642d2"/>
    <x:sheet xmlns:r="http://schemas.openxmlformats.org/officeDocument/2006/relationships" name="Detailed Budget" sheetId="2" r:id="R054d6dab9e5c45bb"/>
    <x:sheet xmlns:r="http://schemas.openxmlformats.org/officeDocument/2006/relationships" name="Scenarios" sheetId="3" r:id="R38f81bf592bb4533"/>
    <x:sheet xmlns:r="http://schemas.openxmlformats.org/officeDocument/2006/relationships" name="Production Assumptions" sheetId="4" r:id="R6fa100c0952c4e56"/>
    <x:sheet xmlns:r="http://schemas.openxmlformats.org/officeDocument/2006/relationships" name="Sources" sheetId="5" r:id="Ra9102be4f87d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 €"/>
    <x:numFmt numFmtId="201" formatCode="0.0%"/>
    <x:numFmt numFmtId="202" formatCode="0.00"/>
    <x:numFmt numFmtId="203" formatCode="#,##0"/>
    <x:numFmt numFmtId="204" formatCode="0"/>
    <x:numFmt numFmtId="205" formatCode="0%"/>
  </x:numFmts>
  <x:fonts count="7">
    <x:font>
      <x:sz val="11"/>
      <x:name val="Carlito"/>
    </x:font>
    <x:font>
      <x:b/>
      <x:sz val="18"/>
      <x:color rgb="111827"/>
      <x:name val="Carlito"/>
    </x:font>
    <x:font>
      <x:i/>
      <x:sz val="11"/>
      <x:color rgb="374151"/>
      <x:name val="Carlito"/>
    </x:font>
    <x:font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F9FAFB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  <x:fill>
      <x:patternFill patternType="solid">
        <x:fgColor rgb="E6F2FF"/>
      </x:patternFill>
    </x:fill>
  </x:fills>
  <x:borders count="20">
    <x:border/>
    <x:border/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200" fontId="5" fillId="5" borderId="10" xfId="0" applyNumberFormat="1" applyFont="1" applyFill="1" applyBorder="1"/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/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200" fontId="5" fillId="5" borderId="19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5" fillId="5" borderId="0" xfId="0" applyNumberFormat="1" applyFont="1" applyFill="1" applyBorder="1"/>
    <x:xf numFmtId="201" fontId="0" fillId="5" borderId="1" xfId="0" applyNumberFormat="1" applyFont="1" applyFill="1" applyBorder="1"/>
    <x:xf numFmtId="201" fontId="5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0657cee0f40d0" /><Relationship Type="http://schemas.openxmlformats.org/officeDocument/2006/relationships/theme" Target="/xl/theme/theme1.xml" Id="Rfc04e78c15ee439f" /><Relationship Type="http://schemas.openxmlformats.org/officeDocument/2006/relationships/sharedStrings" Target="/xl/sharedStrings.xml" Id="R555fa620cdf54845" /><Relationship Type="http://schemas.openxmlformats.org/officeDocument/2006/relationships/worksheet" Target="/xl/worksheets/sheet1.xml" Id="R1d5c3df1640642d2" /><Relationship Type="http://schemas.openxmlformats.org/officeDocument/2006/relationships/worksheet" Target="/xl/worksheets/sheet2.xml" Id="R054d6dab9e5c45bb" /><Relationship Type="http://schemas.openxmlformats.org/officeDocument/2006/relationships/worksheet" Target="/xl/worksheets/sheet3.xml" Id="R38f81bf592bb4533" /><Relationship Type="http://schemas.openxmlformats.org/officeDocument/2006/relationships/worksheet" Target="/xl/worksheets/sheet4.xml" Id="R6fa100c0952c4e56" /><Relationship Type="http://schemas.openxmlformats.org/officeDocument/2006/relationships/worksheet" Target="/xl/worksheets/sheet5.xml" Id="Ra9102be4f87d4161" /></Relationships>
</file>

<file path=xl/tables/table1.xml><?xml version="1.0" encoding="utf-8"?>
<x:table xmlns:x="http://schemas.openxmlformats.org/spreadsheetml/2006/main" id="1" name="SummaryTableEN" displayName="SummaryTableEN" ref="A7:C15" headerRowCount="1">
  <x:tableColumns count="3">
    <x:tableColumn id="1" name="Category"/>
    <x:tableColumn id="2" name="Purpose / note"/>
    <x:tableColumn id="3" name="Amount (EUR)"/>
  </x:tableColumns>
  <x:tableStyleInfo name="TableStyleMedium2" showRowStripes="1"/>
</x:table>
</file>

<file path=xl/tables/table2.xml><?xml version="1.0" encoding="utf-8"?>
<x:table xmlns:x="http://schemas.openxmlformats.org/spreadsheetml/2006/main" id="2" name="DetailedBudgetTableEN" displayName="DetailedBudgetTableEN" ref="A4:D12" headerRowCount="1">
  <x:tableColumns count="4">
    <x:tableColumn id="1" name="Line item"/>
    <x:tableColumn id="2" name="Notes"/>
    <x:tableColumn id="3" name="Annual amount (EUR)"/>
    <x:tableColumn id="4" name="Share of 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8c1f85676b43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2066a0c01e425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8" hidden="0" customWidth="1"/>
  </x:cols>
  <x:sheetData>
    <x:row r="1" ht="30" customHeight="1">
      <x:c r="A1" s="10" t="str">
        <x:v>Ashraellen Budget 2026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Annual budget for a multilingual artistic-philosophical research platform</x:v>
      </x:c>
      <x:c r="B2" s="11" t="str"/>
      <x:c r="C2" s="11" t="str"/>
      <x:c r="D2" s="11" t="str"/>
      <x:c r="E2" s="11" t="str"/>
      <x:c r="F2" s="11" t="str"/>
    </x:row>
    <x:row r="4">
      <x:c r="A4" s="17" t="str">
        <x:v>Main working scenario for twelve months of sustained artistic research, writing, editing, publication, translation, video/audio forms and platform development. The requested infrastructure is the working base for preserving, translating and sharing the research.</x:v>
      </x:c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7">
      <x:c r="A7" s="40" t="str">
        <x:v>Category</x:v>
      </x:c>
      <x:c r="B7" s="41" t="str">
        <x:v>Purpose / note</x:v>
      </x:c>
      <x:c r="C7" s="42" t="str">
        <x:v>Amount (EUR)</x:v>
      </x:c>
    </x:row>
    <x:row r="8">
      <x:c r="A8" s="43" t="str">
        <x:v>Living support</x:v>
      </x:c>
      <x:c r="B8" s="44" t="str">
        <x:v>Basic living support required to secure sustained working time for artistic-philosophical research, writing, editing and platform development.</x:v>
      </x:c>
      <x:c r="C8" s="45" t="n">
        <x:v>24000</x:v>
      </x:c>
    </x:row>
    <x:row r="9">
      <x:c r="A9" s="43" t="str">
        <x:v>Digital tools and AI production</x:v>
      </x:c>
      <x:c r="B9" s="44" t="str">
        <x:v>AI, voice, coding, translation, editing and technical tools used as infrastructure for recording and sharing the research across languages and formats.</x:v>
      </x:c>
      <x:c r="C9" s="45" t="n">
        <x:v>17004</x:v>
      </x:c>
    </x:row>
    <x:row r="10">
      <x:c r="A10" s="43" t="str">
        <x:v>Video template/render infrastructure</x:v>
      </x:c>
      <x:c r="B10" s="44" t="str">
        <x:v>Reusable Remotion templates, local rendering setup, testing and small render/cloud reserve for regular public forms of the research.</x:v>
      </x:c>
      <x:c r="C10" s="45" t="n">
        <x:v>600</x:v>
      </x:c>
    </x:row>
    <x:row r="11">
      <x:c r="A11" s="43" t="str">
        <x:v>Equipment / workstation setup</x:v>
      </x:c>
      <x:c r="B11" s="44" t="str">
        <x:v>Powerful laptop/workstation, wide monitor, external SSD/backup drive, hub/peripherals for editing, publication and multilingual archive work.</x:v>
      </x:c>
      <x:c r="C11" s="45" t="n">
        <x:v>6000</x:v>
      </x:c>
    </x:row>
    <x:row r="12">
      <x:c r="A12" s="43" t="str">
        <x:v>Internet, backup and technical reserve</x:v>
      </x:c>
      <x:c r="B12" s="44" t="str">
        <x:v>Stable connection, mobile/travel internet reserve, backups, storage overflow and technical continuity for preserving the archive and working materials.</x:v>
      </x:c>
      <x:c r="C12" s="45" t="n">
        <x:v>2000</x:v>
      </x:c>
    </x:row>
    <x:row r="13">
      <x:c r="A13" s="43" t="str">
        <x:v>Website, domains, admin and publication support</x:v>
      </x:c>
      <x:c r="B13" s="44" t="str">
        <x:v>Website maintenance, domains, publication support, minor paid services, administrative and platform-related expenses.</x:v>
      </x:c>
      <x:c r="C13" s="45" t="n">
        <x:v>3000</x:v>
      </x:c>
    </x:row>
    <x:row r="14">
      <x:c r="A14" s="43" t="str">
        <x:v>Accounting, tax and administrative reserve</x:v>
      </x:c>
      <x:c r="B14" s="44" t="str">
        <x:v>Reserve for tax/accounting/admin obligations depending on the final legal form of grant payment and partnership structure.</x:v>
      </x:c>
      <x:c r="C14" s="45" t="n">
        <x:v>12396</x:v>
      </x:c>
    </x:row>
    <x:row r="15">
      <x:c r="A15" s="46" t="str">
        <x:v>TOTAL</x:v>
      </x:c>
      <x:c r="B15" s="47" t="str"/>
      <x:c r="C15" s="48" t="n">
        <x:f>SUM(C8:C14)</x:f>
        <x:v>65000</x:v>
      </x:c>
    </x:row>
  </x:sheetData>
  <x:mergeCells>
    <x:mergeCell ref="A1:F1"/>
    <x:mergeCell ref="A2:F2"/>
    <x:mergeCell ref="A4:F5"/>
  </x:mergeCells>
  <x:pageMargins left="0.7" right="0.7" top="0.75" bottom="0.75" header="0.3" footer="0.3"/>
  <x:tableParts count="1">
    <x:tablePart xmlns:r="http://schemas.openxmlformats.org/officeDocument/2006/relationships" r:id="R6b8c1f85676b43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  <x:col min="3" max="3" width="20" hidden="0" customWidth="1"/>
    <x:col min="4" max="4" width="16" hidden="0" customWidth="1"/>
  </x:cols>
  <x:sheetData>
    <x:row r="1" ht="30" customHeight="1">
      <x:c r="A1" s="10" t="str">
        <x:v>Ashraellen Budget 2026 — detailed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Annual budget for a multilingual artistic-philosophical research platform</x:v>
      </x:c>
      <x:c r="B2" s="11" t="str"/>
      <x:c r="C2" s="11" t="str"/>
      <x:c r="D2" s="11" t="str"/>
      <x:c r="E2" s="11" t="str"/>
      <x:c r="F2" s="11" t="str"/>
    </x:row>
    <x:row r="4">
      <x:c r="A4" s="23" t="str">
        <x:v>Line item</x:v>
      </x:c>
      <x:c r="B4" s="23" t="str">
        <x:v>Notes</x:v>
      </x:c>
      <x:c r="C4" s="23" t="str">
        <x:v>Annual amount (EUR)</x:v>
      </x:c>
      <x:c r="D4" s="23" t="str">
        <x:v>Share of total</x:v>
      </x:c>
    </x:row>
    <x:row r="5">
      <x:c r="A5" s="11" t="str">
        <x:v>Living support</x:v>
      </x:c>
      <x:c r="B5" s="11" t="str">
        <x:v>Basic living support required to secure sustained working time for artistic-philosophical research, writing, editing and platform development.</x:v>
      </x:c>
      <x:c r="C5" s="28" t="n">
        <x:v>24000</x:v>
      </x:c>
      <x:c r="D5" s="58" t="n">
        <x:f>C5 / $C$12</x:f>
        <x:v>0.36923076923076925</x:v>
      </x:c>
    </x:row>
    <x:row r="6">
      <x:c r="A6" s="11" t="str">
        <x:v>Digital tools and AI production</x:v>
      </x:c>
      <x:c r="B6" s="11" t="str">
        <x:v>AI, voice, coding, translation, editing and technical tools used as infrastructure for recording and sharing the research across languages and formats.</x:v>
      </x:c>
      <x:c r="C6" s="28" t="n">
        <x:v>17004</x:v>
      </x:c>
      <x:c r="D6" s="58" t="n">
        <x:f>C6 / $C$12</x:f>
        <x:v>0.2616</x:v>
      </x:c>
    </x:row>
    <x:row r="7">
      <x:c r="A7" s="11" t="str">
        <x:v>Video template/render infrastructure</x:v>
      </x:c>
      <x:c r="B7" s="11" t="str">
        <x:v>Reusable Remotion templates, local rendering setup, testing and small render/cloud reserve for regular public forms of the research.</x:v>
      </x:c>
      <x:c r="C7" s="28" t="n">
        <x:v>600</x:v>
      </x:c>
      <x:c r="D7" s="58" t="n">
        <x:f>C7 / $C$12</x:f>
        <x:v>0.009230769230769232</x:v>
      </x:c>
    </x:row>
    <x:row r="8">
      <x:c r="A8" s="11" t="str">
        <x:v>Equipment / workstation setup</x:v>
      </x:c>
      <x:c r="B8" s="11" t="str">
        <x:v>Powerful laptop/workstation, wide monitor, external SSD/backup drive, hub/peripherals for editing, publication and multilingual archive work.</x:v>
      </x:c>
      <x:c r="C8" s="28" t="n">
        <x:v>6000</x:v>
      </x:c>
      <x:c r="D8" s="58" t="n">
        <x:f>C8 / $C$12</x:f>
        <x:v>0.09230769230769231</x:v>
      </x:c>
    </x:row>
    <x:row r="9">
      <x:c r="A9" s="11" t="str">
        <x:v>Internet, backup and technical reserve</x:v>
      </x:c>
      <x:c r="B9" s="11" t="str">
        <x:v>Stable connection, mobile/travel internet reserve, backups, storage overflow and technical continuity for preserving the archive and working materials.</x:v>
      </x:c>
      <x:c r="C9" s="28" t="n">
        <x:v>2000</x:v>
      </x:c>
      <x:c r="D9" s="58" t="n">
        <x:f>C9 / $C$12</x:f>
        <x:v>0.03076923076923077</x:v>
      </x:c>
    </x:row>
    <x:row r="10">
      <x:c r="A10" s="11" t="str">
        <x:v>Website, domains, admin and publication support</x:v>
      </x:c>
      <x:c r="B10" s="11" t="str">
        <x:v>Website maintenance, domains, publication support, minor paid services, administrative and platform-related expenses.</x:v>
      </x:c>
      <x:c r="C10" s="28" t="n">
        <x:v>3000</x:v>
      </x:c>
      <x:c r="D10" s="58" t="n">
        <x:f>C10 / $C$12</x:f>
        <x:v>0.046153846153846156</x:v>
      </x:c>
    </x:row>
    <x:row r="11">
      <x:c r="A11" s="11" t="str">
        <x:v>Accounting, tax and administrative reserve</x:v>
      </x:c>
      <x:c r="B11" s="11" t="str">
        <x:v>Reserve for tax/accounting/admin obligations depending on the final legal form of grant payment and partnership structure.</x:v>
      </x:c>
      <x:c r="C11" s="28" t="n">
        <x:v>12396</x:v>
      </x:c>
      <x:c r="D11" s="58" t="n">
        <x:f>C11 / $C$12</x:f>
        <x:v>0.1907076923076923</x:v>
      </x:c>
    </x:row>
    <x:row r="12">
      <x:c r="A12" s="38" t="str">
        <x:v>TOTAL</x:v>
      </x:c>
      <x:c r="B12" s="38" t="str"/>
      <x:c r="C12" s="33" t="n">
        <x:f>SUM(C5:C11)</x:f>
        <x:v>65000</x:v>
      </x:c>
      <x:c r="D12" s="61" t="n">
        <x:f>SUM(D5:D11)</x:f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f2066a0c01e42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10" t="str">
        <x:v>Budget scenarios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Comparison of three annual request levels</x:v>
      </x:c>
      <x:c r="B2" s="11" t="str"/>
      <x:c r="C2" s="11" t="str"/>
      <x:c r="D2" s="11" t="str"/>
      <x:c r="E2" s="11" t="str"/>
      <x:c r="F2" s="11" t="str"/>
    </x:row>
    <x:row r="4">
      <x:c r="A4" s="23" t="str">
        <x:v>Line item</x:v>
      </x:c>
      <x:c r="B4" s="23" t="str">
        <x:v>Minimal year</x:v>
      </x:c>
      <x:c r="C4" s="23" t="str">
        <x:v>Realistic year</x:v>
      </x:c>
      <x:c r="D4" s="23" t="str">
        <x:v>Strong year</x:v>
      </x:c>
    </x:row>
    <x:row r="5">
      <x:c r="A5" t="str">
        <x:v>Living support</x:v>
      </x:c>
      <x:c r="B5" s="28" t="n">
        <x:v>24000</x:v>
      </x:c>
      <x:c r="C5" s="28" t="n">
        <x:v>24000</x:v>
      </x:c>
      <x:c r="D5" s="28" t="n">
        <x:v>24000</x:v>
      </x:c>
    </x:row>
    <x:row r="6">
      <x:c r="A6" t="str">
        <x:v>Digital tools and AI production</x:v>
      </x:c>
      <x:c r="B6" s="28" t="n">
        <x:v>12000</x:v>
      </x:c>
      <x:c r="C6" s="28" t="n">
        <x:v>17004</x:v>
      </x:c>
      <x:c r="D6" s="28" t="n">
        <x:v>19000</x:v>
      </x:c>
    </x:row>
    <x:row r="7">
      <x:c r="A7" t="str">
        <x:v>Video template/render infrastructure</x:v>
      </x:c>
      <x:c r="B7" s="28" t="n">
        <x:v>300</x:v>
      </x:c>
      <x:c r="C7" s="28" t="n">
        <x:v>600</x:v>
      </x:c>
      <x:c r="D7" s="28" t="n">
        <x:v>1000</x:v>
      </x:c>
    </x:row>
    <x:row r="8">
      <x:c r="A8" t="str">
        <x:v>Equipment / workstation setup</x:v>
      </x:c>
      <x:c r="B8" s="28" t="n">
        <x:v>5000</x:v>
      </x:c>
      <x:c r="C8" s="28" t="n">
        <x:v>6000</x:v>
      </x:c>
      <x:c r="D8" s="28" t="n">
        <x:v>7000</x:v>
      </x:c>
    </x:row>
    <x:row r="9">
      <x:c r="A9" t="str">
        <x:v>Internet, backup and technical reserve</x:v>
      </x:c>
      <x:c r="B9" s="28" t="n">
        <x:v>1500</x:v>
      </x:c>
      <x:c r="C9" s="28" t="n">
        <x:v>2000</x:v>
      </x:c>
      <x:c r="D9" s="28" t="n">
        <x:v>2500</x:v>
      </x:c>
    </x:row>
    <x:row r="10">
      <x:c r="A10" t="str">
        <x:v>Website, domains, admin and publication support</x:v>
      </x:c>
      <x:c r="B10" s="28" t="n">
        <x:v>2000</x:v>
      </x:c>
      <x:c r="C10" s="28" t="n">
        <x:v>3000</x:v>
      </x:c>
      <x:c r="D10" s="28" t="n">
        <x:v>3500</x:v>
      </x:c>
    </x:row>
    <x:row r="11">
      <x:c r="A11" t="str">
        <x:v>Accounting, tax and administrative reserve</x:v>
      </x:c>
      <x:c r="B11" s="28" t="n">
        <x:v>10200</x:v>
      </x:c>
      <x:c r="C11" s="28" t="n">
        <x:v>12396</x:v>
      </x:c>
      <x:c r="D11" s="28" t="n">
        <x:v>13000</x:v>
      </x:c>
    </x:row>
    <x:row r="12">
      <x:c r="A12" s="32" t="str">
        <x:v>TOTAL</x:v>
      </x:c>
      <x:c r="B12" s="33" t="n">
        <x:f>SUM(B2:B8)</x:f>
        <x:v>41300</x:v>
      </x:c>
      <x:c r="C12" s="33" t="n">
        <x:f>SUM(C2:C8)</x:f>
        <x:v>47604</x:v>
      </x:c>
      <x:c r="D12" s="33" t="n">
        <x:f>SUM(D2:D8)</x:f>
        <x:v>51000</x:v>
      </x:c>
    </x:row>
    <x:row r="13">
      <x:c r="B13" s="28"/>
      <x:c r="C13" s="28"/>
      <x:c r="D13" s="28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6" hidden="0" customWidth="1"/>
    <x:col min="3" max="3" width="64" hidden="0" customWidth="1"/>
  </x:cols>
  <x:sheetData>
    <x:row r="1" ht="30" customHeight="1">
      <x:c r="A1" s="10" t="str">
        <x:v>Production assumptions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Voice, video and multilingual production assumptions for public forms of the research</x:v>
      </x:c>
      <x:c r="B2" s="11" t="str"/>
      <x:c r="C2" s="11" t="str"/>
      <x:c r="D2" s="11" t="str"/>
      <x:c r="E2" s="11" t="str"/>
      <x:c r="F2" s="11" t="str"/>
    </x:row>
    <x:row r="4">
      <x:c r="A4" s="23" t="str">
        <x:v>Assumption</x:v>
      </x:c>
      <x:c r="B4" s="23" t="str">
        <x:v>Value</x:v>
      </x:c>
      <x:c r="C4" s="23" t="str">
        <x:v>Comment</x:v>
      </x:c>
    </x:row>
    <x:row r="5">
      <x:c r="A5" s="11" t="str">
        <x:v>Long-form videos per month</x:v>
      </x:c>
      <x:c r="B5" s="68" t="n">
        <x:v>14</x:v>
      </x:c>
      <x:c r="C5" s="11" t="str">
        <x:v>Regular long-form output across projects</x:v>
      </x:c>
    </x:row>
    <x:row r="6">
      <x:c r="A6" s="11" t="str">
        <x:v>Average long-form duration (minutes)</x:v>
      </x:c>
      <x:c r="B6" s="68" t="n">
        <x:v>15</x:v>
      </x:c>
      <x:c r="C6" s="11" t="str">
        <x:v>Average duration used for voice-production calculation</x:v>
      </x:c>
    </x:row>
    <x:row r="7">
      <x:c r="A7" s="11" t="str">
        <x:v>Languages for long-form localization</x:v>
      </x:c>
      <x:c r="B7" s="68" t="n">
        <x:v>9</x:v>
      </x:c>
      <x:c r="C7" s="11" t="str">
        <x:v>Main multilingual platform group</x:v>
      </x:c>
    </x:row>
    <x:row r="8">
      <x:c r="A8" s="11" t="str">
        <x:v>Long-form voice minutes per month</x:v>
      </x:c>
      <x:c r="B8" s="75" t="n">
        <x:f>B5*B6*B7</x:f>
        <x:v>1890</x:v>
      </x:c>
      <x:c r="C8" s="11" t="str">
        <x:v>14 × 15 × 9 = 1,890 minutes/month</x:v>
      </x:c>
    </x:row>
    <x:row r="9">
      <x:c r="A9" s="11" t="str">
        <x:v>Saint Whine Shorts per month</x:v>
      </x:c>
      <x:c r="B9" s="75" t="n">
        <x:v>30</x:v>
      </x:c>
      <x:c r="C9" s="11" t="str">
        <x:v>One Short per day for Saint Whine as a baseline</x:v>
      </x:c>
    </x:row>
    <x:row r="10">
      <x:c r="A10" s="11" t="str">
        <x:v>Average Short duration (minutes)</x:v>
      </x:c>
      <x:c r="B10" s="75" t="n">
        <x:v>1</x:v>
      </x:c>
      <x:c r="C10" s="11" t="str">
        <x:v>Conservative working assumption</x:v>
      </x:c>
    </x:row>
    <x:row r="11">
      <x:c r="A11" s="11" t="str">
        <x:v>Languages for Shorts baseline</x:v>
      </x:c>
      <x:c r="B11" s="75" t="n">
        <x:v>1</x:v>
      </x:c>
      <x:c r="C11" s="11" t="str">
        <x:v>Baseline: English only; multilingual Shorts would increase the total</x:v>
      </x:c>
    </x:row>
    <x:row r="12">
      <x:c r="A12" s="11" t="str">
        <x:v>Shorts voice minutes per month</x:v>
      </x:c>
      <x:c r="B12" s="75" t="n">
        <x:f>B9*B10*B11</x:f>
        <x:v>30</x:v>
      </x:c>
      <x:c r="C12" s="11" t="str">
        <x:v>30 × 1 × 1 = 30 minutes/month</x:v>
      </x:c>
    </x:row>
    <x:row r="13">
      <x:c r="A13" s="11" t="str">
        <x:v>Regeneration/testing reserve</x:v>
      </x:c>
      <x:c r="B13" s="76" t="n">
        <x:v>0.2</x:v>
      </x:c>
      <x:c r="C13" s="11" t="str">
        <x:v>Rereads, corrections, timing changes, failures, draft versions</x:v>
      </x:c>
    </x:row>
    <x:row r="14">
      <x:c r="A14" s="11" t="str">
        <x:v>Estimated voice minutes incl. reserve</x:v>
      </x:c>
      <x:c r="B14" s="75" t="n">
        <x:f>(B8+B12)*(1+B13)</x:f>
        <x:v>2304</x:v>
      </x:c>
      <x:c r="C14" s="11" t="str">
        <x:v>(1,890 + 30) × 1.2 = 2,304 minutes/month</x:v>
      </x:c>
    </x:row>
    <x:row r="15">
      <x:c r="A15" s="11" t="str">
        <x:v>ElevenLabs Business approximate monthly capacity</x:v>
      </x:c>
      <x:c r="B15" s="75" t="n">
        <x:v>6000</x:v>
      </x:c>
      <x:c r="C15" s="11" t="str">
        <x:v>Capacity reference for full production mode</x:v>
      </x:c>
    </x:row>
    <x:row r="16">
      <x:c r="A16" s="11" t="str">
        <x:v>Estimated monthly capacity buffer</x:v>
      </x:c>
      <x:c r="B16" s="75" t="n">
        <x:f>B15-B14</x:f>
        <x:v>3696</x:v>
      </x:c>
      <x:c r="C16" s="11" t="str">
        <x:v>Approximate unused capacity for tests, extra Shorts and growth</x:v>
      </x:c>
    </x:row>
    <x:row r="18">
      <x:c r="A18" s="74" t="str">
        <x:v>Budget hierarchy</x:v>
      </x:c>
      <x:c r="B18" s="74"/>
      <x:c r="C18" s="74"/>
    </x:row>
    <x:row r="19">
      <x:c r="A19" s="11" t="str">
        <x:v>mode of seeing → inquiry into meaning → forms of recording → public platform → production infrastructure</x:v>
      </x:c>
      <x:c r="B19" s="11"/>
      <x:c r="C19" s="11"/>
    </x:row>
    <x:row r="20">
      <x:c r="A20" s="11" t="str">
        <x:v>The infrastructure is the working base for preserving, translating and sharing the research in literary, audio, video and multilingual formats.</x:v>
      </x:c>
      <x:c r="B20" s="11"/>
      <x:c r="C20" s="11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60" hidden="0" customWidth="1"/>
  </x:cols>
  <x:sheetData>
    <x:row r="1" ht="30" customHeight="1">
      <x:c r="A1" s="10" t="str">
        <x:v>Sources and notes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Budget input references</x:v>
      </x:c>
      <x:c r="B2" s="11" t="str"/>
      <x:c r="C2" s="11" t="str"/>
      <x:c r="D2" s="11" t="str"/>
      <x:c r="E2" s="11" t="str"/>
      <x:c r="F2" s="11" t="str"/>
    </x:row>
    <x:row r="4">
      <x:c r="A4" s="23" t="str">
        <x:v>Source</x:v>
      </x:c>
      <x:c r="B4" s="23" t="str">
        <x:v>URL</x:v>
      </x:c>
      <x:c r="C4" s="23" t="str">
        <x:v>Use in budget</x:v>
      </x:c>
    </x:row>
    <x:row r="5">
      <x:c r="A5" s="11" t="str">
        <x:v>ElevenLabs pricing</x:v>
      </x:c>
      <x:c r="B5" s="11" t="str">
        <x:v>https://elevenlabs.io/pricing</x:v>
      </x:c>
      <x:c r="C5" s="11" t="str">
        <x:v>Used for Scale/Business voice production planning.</x:v>
      </x:c>
    </x:row>
    <x:row r="6">
      <x:c r="A6" s="11" t="str">
        <x:v>Remotion license</x:v>
      </x:c>
      <x:c r="B6" s="11" t="str">
        <x:v>https://www.remotion.dev/license</x:v>
      </x:c>
      <x:c r="C6" s="11" t="str">
        <x:v>Used to treat Remotion as mainly template/render infrastructure rather than a large subscription.</x:v>
      </x:c>
    </x:row>
    <x:row r="7">
      <x:c r="A7" s="11" t="str">
        <x:v>Google AI plans</x:v>
      </x:c>
      <x:c r="B7" s="11" t="str">
        <x:v>https://one.google.com/about/google-ai-plans/</x:v>
      </x:c>
      <x:c r="C7" s="11" t="str">
        <x:v>Used for Google AI Ultra / AI generation / storage planning.</x:v>
      </x:c>
    </x:row>
    <x:row r="8">
      <x:c r="A8" s="11" t="str">
        <x:v>OpenAI ChatGPT pricing</x:v>
      </x:c>
      <x:c r="B8" s="11" t="str">
        <x:v>https://openai.com/chatgpt/pricing</x:v>
      </x:c>
      <x:c r="C8" s="11" t="str">
        <x:v>Used for AI-assisted writing/coding/project development planning.</x:v>
      </x:c>
    </x:row>
    <x:row r="9">
      <x:c r="A9" s="11" t="str">
        <x:v>Ashraellen website</x:v>
      </x:c>
      <x:c r="B9" s="11" t="str">
        <x:v>https://www.ashraellen.com/</x:v>
      </x:c>
      <x:c r="C9" s="11" t="str">
        <x:v>Project platform and public archive reference.</x:v>
      </x:c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</x:sheetData>
  <x:mergeCells>
    <x:mergeCell ref="A1:F1"/>
    <x:mergeCell ref="A2:F2"/>
  </x:mergeCells>
  <x:pageMargins left="0.7" right="0.7" top="0.75" bottom="0.75" header="0.3" footer="0.3"/>
</x:worksheet>
</file>